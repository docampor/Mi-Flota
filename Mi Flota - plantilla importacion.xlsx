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_doc\Documents\Mi Flota\"/>
    </mc:Choice>
  </mc:AlternateContent>
  <xr:revisionPtr revIDLastSave="0" documentId="13_ncr:1_{896BD545-4B8A-4B2A-A48C-F5CE5A944549}" xr6:coauthVersionLast="47" xr6:coauthVersionMax="47" xr10:uidLastSave="{00000000-0000-0000-0000-000000000000}"/>
  <bookViews>
    <workbookView xWindow="-120" yWindow="-120" windowWidth="29040" windowHeight="15720" activeTab="1" xr2:uid="{00000000-000D-0000-FFFF-FFFF00000000}"/>
  </bookViews>
  <sheets>
    <sheet name="Instrucciones" sheetId="1" r:id="rId1"/>
    <sheet name="Mantenimiento" sheetId="2" r:id="rId2"/>
    <sheet name="Repuestos" sheetId="3" r:id="rId3"/>
    <sheet name="Bitacora" sheetId="4" r:id="rId4"/>
    <sheet name="Combustib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9" i="2"/>
  <c r="D3" i="2"/>
  <c r="D4" i="2"/>
  <c r="D5" i="2"/>
  <c r="D6" i="2"/>
  <c r="D7" i="2"/>
  <c r="D2" i="2"/>
</calcChain>
</file>

<file path=xl/sharedStrings.xml><?xml version="1.0" encoding="utf-8"?>
<sst xmlns="http://schemas.openxmlformats.org/spreadsheetml/2006/main" count="108" uniqueCount="82">
  <si>
    <t>Mi Flota - plantilla para importar datos</t>
  </si>
  <si>
    <t>Completa las hojas Mantenimiento, Repuestos, Bitacora y Combustible. Luego en la app entra a Informe &gt; Datos &gt; Importar Excel.</t>
  </si>
  <si>
    <t>Fechas recomendadas: AAAA-MM-DD, por ejemplo 2026-05-08. Tambien acepta DD/MM/AAAA.</t>
  </si>
  <si>
    <t>No cambies los nombres de las hojas ni los encabezados de columnas.</t>
  </si>
  <si>
    <t>Item</t>
  </si>
  <si>
    <t>Fecha</t>
  </si>
  <si>
    <t>Km</t>
  </si>
  <si>
    <t>ProximoKm</t>
  </si>
  <si>
    <t>Accion</t>
  </si>
  <si>
    <t>Repuestos</t>
  </si>
  <si>
    <t>ManoDeObra</t>
  </si>
  <si>
    <t>Notas</t>
  </si>
  <si>
    <t>IntervaloKm</t>
  </si>
  <si>
    <t>2026-05-08</t>
  </si>
  <si>
    <t>Reemplazar</t>
  </si>
  <si>
    <t>Cadena</t>
  </si>
  <si>
    <t>Lubricar</t>
  </si>
  <si>
    <t>Limpieza y lubricacion</t>
  </si>
  <si>
    <t>Categoria</t>
  </si>
  <si>
    <t>Nombre</t>
  </si>
  <si>
    <t>Codigo</t>
  </si>
  <si>
    <t>Marca</t>
  </si>
  <si>
    <t>Precio</t>
  </si>
  <si>
    <t>Link</t>
  </si>
  <si>
    <t>Motul</t>
  </si>
  <si>
    <t/>
  </si>
  <si>
    <t>Preferido para service</t>
  </si>
  <si>
    <t>Descripcion</t>
  </si>
  <si>
    <t>Mantenimiento</t>
  </si>
  <si>
    <t>Litros</t>
  </si>
  <si>
    <t>PrecioLitro</t>
  </si>
  <si>
    <t>TanqueLleno</t>
  </si>
  <si>
    <t>Si</t>
  </si>
  <si>
    <t>2026-05-12</t>
  </si>
  <si>
    <t>Aceite</t>
  </si>
  <si>
    <t>Filtro aceite</t>
  </si>
  <si>
    <t>Filtro aire</t>
  </si>
  <si>
    <t>Filtro combustible</t>
  </si>
  <si>
    <t>Lubricación cadena</t>
  </si>
  <si>
    <t>Limpieza transmisión</t>
  </si>
  <si>
    <t>Limpiar</t>
  </si>
  <si>
    <t>Aceite Motul 5100 4t 15w-50 Semi-sintético 1l</t>
  </si>
  <si>
    <t>Filtro De Aceite Toyota Corolla Corona Lifan 530 620 Acdelco</t>
  </si>
  <si>
    <t>Aceite Para Cadenas Fercol 440 Cc Para Motos</t>
  </si>
  <si>
    <t>Liquido de freno</t>
  </si>
  <si>
    <t>Refrigerante</t>
  </si>
  <si>
    <t>Liquido para frenos Bosh TIPO 4</t>
  </si>
  <si>
    <t>Motul 5100 4t 15w-50 Semi-sintético 1l</t>
  </si>
  <si>
    <t>Lubricante</t>
  </si>
  <si>
    <t>Fercol</t>
  </si>
  <si>
    <t>https://www.mercadolibre.com.ar/aceite-para-cadenas-fercol-440-cc-para-motos/p/MLA26333535?pdp_filters=item_id%3AMLA2813334598&amp;matt_tool=89488245#origin=share&amp;sid=share&amp;wid=MLA2813334598&amp;action=copy</t>
  </si>
  <si>
    <t>nuevo y barato vamos a probar</t>
  </si>
  <si>
    <t>https://www.mercadolibre.com.ar/aceite-motul-5100-4t-15w-50-semi-sintetico-1l/p/MLA40925005?pdp_filters=item_id%3AMLA1651524217&amp;matt_tool=89488245#origin=share&amp;sid=share&amp;wid=MLA1651524217&amp;action=copy</t>
  </si>
  <si>
    <t>AFAM</t>
  </si>
  <si>
    <t>352300-R100-000</t>
  </si>
  <si>
    <t>Transmisión</t>
  </si>
  <si>
    <t>Kit de arrastre completo</t>
  </si>
  <si>
    <t>https://www.mercadolibre.com.ar/transmision-original-para-moto-rvm-tekken-500/up/MLAU256388872?pdp_filters=item_id%3AMLA1372706011&amp;matt_tool=89488245#origin=share&amp;sid=share&amp;wid=MLA1372706011&amp;action=copy</t>
  </si>
  <si>
    <t>Cantidad de eslabones de la cadena 112, Cantidad de dientes del piñón 15, Cantidad de dientes de la corona</t>
  </si>
  <si>
    <t>solo cadena</t>
  </si>
  <si>
    <t>Cambio pastillas traseras</t>
  </si>
  <si>
    <t>Se hizo cambio de aceite en suspension delantera como tambien los bujes y guardapolvos</t>
  </si>
  <si>
    <t>Cambio cadena de transmision por original. Cerrada tuve que sacar el horquillon</t>
  </si>
  <si>
    <t>instalacion de camaras dash marca Chigee. Adicionalmente se instalo tambien cargador bidireccional  misma marca</t>
  </si>
  <si>
    <t>Modificacion</t>
  </si>
  <si>
    <t>bomba de nafta dejo de funcionar. Desarme el tanque la limpie y lubrique con wd40 la probe y funcionaba. Se ve que al tener poca nafta por un tiempo se seco. La coloque nuevamente y arme y sin problemas. Mantener al menos dos rayitas de nafta en el tanque si la moto queda parada bastante tiempo</t>
  </si>
  <si>
    <t>Incidente</t>
  </si>
  <si>
    <t>En el parque nacional el palmar agarre arena suelta y me cai. se doblo el tornillo del contrapeso y se rayo el mismo. Compre un nuevo y lo cambie.</t>
  </si>
  <si>
    <t>Cambio cubierta trasera por Metzeller</t>
  </si>
  <si>
    <t>Se quemo luz baja del faro delantero. Entro por garantia aunque ya estaba pasado el periodo de la misma. RVM entendio que al momento de ensamble de la moto se dejaron sin destapar las ventilaciones de la optica lo que provoco que se queme la baja que es la luz que siempre va prendida</t>
  </si>
  <si>
    <t>Cambio amortiguador trasero por KYB.</t>
  </si>
  <si>
    <t>Perdida liquido de freno rueda delantera. Flexible mal ajustado. Problema de ensamble. Entro por garantia.</t>
  </si>
  <si>
    <t>Neumaticos</t>
  </si>
  <si>
    <t>Trasero</t>
  </si>
  <si>
    <t>Delantero</t>
  </si>
  <si>
    <t>Metzeler</t>
  </si>
  <si>
    <t>150 / 70-17</t>
  </si>
  <si>
    <t>110 / 80-19</t>
  </si>
  <si>
    <t>https://www.mercadolibre.com.ar/cubierta-15070-17-sc-metzeler-tourance-gs-800-vstrom-gaona/p/MLA24530461?pdp_filters=item_id%3AMLA3008648158&amp;matt_tool=89488245#origin=share&amp;sid=share&amp;wid=MLA3008648158&amp;action=copy</t>
  </si>
  <si>
    <t>https://www.mercadolibre.com.ar/cubierta-moto-metzeler-tourance-110-80-19-59h-dp-plan-fas/p/MLA64099530?pdp_filters=item_id%3AMLA1656742835&amp;matt_tool=89488245#origin=share&amp;sid=share&amp;wid=MLA1656742835&amp;action=copy</t>
  </si>
  <si>
    <t>Precios referenciales</t>
  </si>
  <si>
    <t>Liquido Refrigerante Auto Total Supra Rojo Concentrado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</si>
</sst>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workbookViewId="0"/>
  </sheetViews>
  <sheetFormatPr defaultRowHeight="15" x14ac:dyDescent="0.25"/>
  <cols>
    <col min="1" max="1" width="117.42578125" bestFit="1" customWidth="1"/>
  </cols>
  <sheetData>
    <row r="1" spans="1:1" x14ac:dyDescent="0.25">
      <c r="A1" t="s">
        <v>0</v>
      </c>
    </row>
    <row r="2" spans="1:1" x14ac:dyDescent="0.25">
      <c r="A2" t="s">
        <v>1</v>
      </c>
    </row>
    <row r="3" spans="1:1" x14ac:dyDescent="0.25">
      <c r="A3" t="s">
        <v>2</v>
      </c>
    </row>
    <row r="4" spans="1:1" x14ac:dyDescent="0.25">
      <c r="A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tabSelected="1" workbookViewId="0">
      <selection activeCell="E10" sqref="E10"/>
    </sheetView>
  </sheetViews>
  <sheetFormatPr defaultRowHeight="15" x14ac:dyDescent="0.25"/>
  <cols>
    <col min="1" max="1" width="20.28515625" bestFit="1" customWidth="1"/>
    <col min="2" max="2" width="10.42578125" bestFit="1" customWidth="1"/>
    <col min="4" max="4" width="11.140625" bestFit="1" customWidth="1"/>
    <col min="5" max="5" width="11.42578125" bestFit="1" customWidth="1"/>
    <col min="6" max="6" width="10.140625" bestFit="1" customWidth="1"/>
    <col min="7" max="7" width="12.7109375" bestFit="1" customWidth="1"/>
    <col min="8" max="8" width="54.5703125" bestFit="1" customWidth="1"/>
    <col min="9" max="9" width="11.5703125" bestFit="1" customWidth="1"/>
  </cols>
  <sheetData>
    <row r="1" spans="1:9" x14ac:dyDescent="0.25">
      <c r="A1" t="s">
        <v>4</v>
      </c>
      <c r="B1" t="s">
        <v>5</v>
      </c>
      <c r="C1" t="s">
        <v>6</v>
      </c>
      <c r="D1" t="s">
        <v>7</v>
      </c>
      <c r="E1" t="s">
        <v>8</v>
      </c>
      <c r="F1" t="s">
        <v>9</v>
      </c>
      <c r="G1" t="s">
        <v>10</v>
      </c>
      <c r="H1" t="s">
        <v>11</v>
      </c>
      <c r="I1" t="s">
        <v>12</v>
      </c>
    </row>
    <row r="2" spans="1:9" x14ac:dyDescent="0.25">
      <c r="A2" t="s">
        <v>34</v>
      </c>
      <c r="B2" s="1">
        <v>46151</v>
      </c>
      <c r="C2">
        <v>29100</v>
      </c>
      <c r="D2">
        <f>SUM(C2)+I2</f>
        <v>32100</v>
      </c>
      <c r="E2" t="s">
        <v>14</v>
      </c>
      <c r="F2">
        <v>25000</v>
      </c>
      <c r="G2">
        <v>0</v>
      </c>
      <c r="H2" t="s">
        <v>41</v>
      </c>
      <c r="I2">
        <v>3000</v>
      </c>
    </row>
    <row r="3" spans="1:9" x14ac:dyDescent="0.25">
      <c r="A3" t="s">
        <v>35</v>
      </c>
      <c r="B3" s="1">
        <v>46151</v>
      </c>
      <c r="C3">
        <v>29100</v>
      </c>
      <c r="D3">
        <f t="shared" ref="D3:D9" si="0">SUM(C3)+I3</f>
        <v>38100</v>
      </c>
      <c r="E3" t="s">
        <v>16</v>
      </c>
      <c r="F3">
        <v>22347</v>
      </c>
      <c r="G3">
        <v>0</v>
      </c>
      <c r="H3" t="s">
        <v>17</v>
      </c>
      <c r="I3">
        <v>9000</v>
      </c>
    </row>
    <row r="4" spans="1:9" x14ac:dyDescent="0.25">
      <c r="A4" t="s">
        <v>36</v>
      </c>
      <c r="C4">
        <v>22500</v>
      </c>
      <c r="D4">
        <f t="shared" si="0"/>
        <v>34500</v>
      </c>
      <c r="E4" t="s">
        <v>14</v>
      </c>
      <c r="F4">
        <v>0</v>
      </c>
      <c r="G4">
        <v>0</v>
      </c>
      <c r="H4" t="s">
        <v>42</v>
      </c>
      <c r="I4">
        <v>12000</v>
      </c>
    </row>
    <row r="5" spans="1:9" x14ac:dyDescent="0.25">
      <c r="A5" t="s">
        <v>37</v>
      </c>
      <c r="C5">
        <v>22500</v>
      </c>
      <c r="D5">
        <f t="shared" si="0"/>
        <v>42500</v>
      </c>
      <c r="E5" t="s">
        <v>14</v>
      </c>
      <c r="F5">
        <v>0</v>
      </c>
      <c r="G5">
        <v>0</v>
      </c>
      <c r="I5">
        <v>20000</v>
      </c>
    </row>
    <row r="6" spans="1:9" x14ac:dyDescent="0.25">
      <c r="A6" t="s">
        <v>38</v>
      </c>
      <c r="C6">
        <v>29100</v>
      </c>
      <c r="D6">
        <f t="shared" si="0"/>
        <v>29600</v>
      </c>
      <c r="E6" t="s">
        <v>16</v>
      </c>
      <c r="F6">
        <v>8241</v>
      </c>
      <c r="G6">
        <v>0</v>
      </c>
      <c r="H6" t="s">
        <v>43</v>
      </c>
      <c r="I6">
        <v>500</v>
      </c>
    </row>
    <row r="7" spans="1:9" x14ac:dyDescent="0.25">
      <c r="A7" t="s">
        <v>39</v>
      </c>
      <c r="C7">
        <v>29100</v>
      </c>
      <c r="D7">
        <f t="shared" si="0"/>
        <v>30100</v>
      </c>
      <c r="E7" t="s">
        <v>40</v>
      </c>
      <c r="F7">
        <v>0</v>
      </c>
      <c r="G7">
        <v>0</v>
      </c>
      <c r="I7">
        <v>1000</v>
      </c>
    </row>
    <row r="8" spans="1:9" x14ac:dyDescent="0.25">
      <c r="A8" t="s">
        <v>44</v>
      </c>
      <c r="C8">
        <v>29100</v>
      </c>
      <c r="D8">
        <f t="shared" si="0"/>
        <v>49100</v>
      </c>
      <c r="E8" t="s">
        <v>14</v>
      </c>
      <c r="F8">
        <v>20000</v>
      </c>
      <c r="G8">
        <v>0</v>
      </c>
      <c r="H8" t="s">
        <v>46</v>
      </c>
      <c r="I8">
        <v>20000</v>
      </c>
    </row>
    <row r="9" spans="1:9" x14ac:dyDescent="0.25">
      <c r="A9" t="s">
        <v>45</v>
      </c>
      <c r="C9">
        <v>22500</v>
      </c>
      <c r="D9">
        <f t="shared" si="0"/>
        <v>32500</v>
      </c>
      <c r="E9" t="s">
        <v>14</v>
      </c>
      <c r="F9">
        <v>13400</v>
      </c>
      <c r="G9">
        <v>0</v>
      </c>
      <c r="H9" t="s">
        <v>81</v>
      </c>
      <c r="I9">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election activeCell="G8" sqref="G8"/>
    </sheetView>
  </sheetViews>
  <sheetFormatPr defaultRowHeight="15" x14ac:dyDescent="0.25"/>
  <cols>
    <col min="1" max="1" width="16.28515625" bestFit="1" customWidth="1"/>
    <col min="2" max="2" width="34.85546875" bestFit="1" customWidth="1"/>
    <col min="3" max="3" width="15.7109375" bestFit="1" customWidth="1"/>
    <col min="6" max="6" width="65.7109375" customWidth="1"/>
    <col min="7" max="7" width="28.7109375" bestFit="1" customWidth="1"/>
  </cols>
  <sheetData>
    <row r="1" spans="1:7" x14ac:dyDescent="0.25">
      <c r="A1" t="s">
        <v>18</v>
      </c>
      <c r="B1" t="s">
        <v>19</v>
      </c>
      <c r="C1" t="s">
        <v>20</v>
      </c>
      <c r="D1" t="s">
        <v>21</v>
      </c>
      <c r="E1" t="s">
        <v>22</v>
      </c>
      <c r="F1" t="s">
        <v>23</v>
      </c>
      <c r="G1" t="s">
        <v>11</v>
      </c>
    </row>
    <row r="2" spans="1:7" ht="60" x14ac:dyDescent="0.25">
      <c r="A2" t="s">
        <v>34</v>
      </c>
      <c r="B2" t="s">
        <v>47</v>
      </c>
      <c r="C2">
        <v>5100</v>
      </c>
      <c r="D2" t="s">
        <v>24</v>
      </c>
      <c r="E2">
        <v>18500</v>
      </c>
      <c r="F2" s="2" t="s">
        <v>52</v>
      </c>
      <c r="G2" t="s">
        <v>26</v>
      </c>
    </row>
    <row r="3" spans="1:7" x14ac:dyDescent="0.25">
      <c r="A3" t="s">
        <v>55</v>
      </c>
      <c r="B3" t="s">
        <v>15</v>
      </c>
      <c r="C3" t="s">
        <v>54</v>
      </c>
      <c r="D3" t="s">
        <v>53</v>
      </c>
      <c r="E3">
        <v>150000</v>
      </c>
      <c r="F3" s="2" t="s">
        <v>25</v>
      </c>
      <c r="G3" t="s">
        <v>59</v>
      </c>
    </row>
    <row r="4" spans="1:7" ht="75" x14ac:dyDescent="0.25">
      <c r="A4" t="s">
        <v>55</v>
      </c>
      <c r="B4" t="s">
        <v>48</v>
      </c>
      <c r="C4">
        <v>440</v>
      </c>
      <c r="D4" t="s">
        <v>49</v>
      </c>
      <c r="E4">
        <v>5441</v>
      </c>
      <c r="F4" s="2" t="s">
        <v>50</v>
      </c>
      <c r="G4" t="s">
        <v>51</v>
      </c>
    </row>
    <row r="5" spans="1:7" ht="75" x14ac:dyDescent="0.25">
      <c r="A5" t="s">
        <v>55</v>
      </c>
      <c r="B5" t="s">
        <v>56</v>
      </c>
      <c r="D5" t="s">
        <v>53</v>
      </c>
      <c r="E5">
        <v>355620</v>
      </c>
      <c r="F5" s="2" t="s">
        <v>57</v>
      </c>
      <c r="G5" s="2" t="s">
        <v>58</v>
      </c>
    </row>
    <row r="6" spans="1:7" ht="75" x14ac:dyDescent="0.25">
      <c r="A6" t="s">
        <v>72</v>
      </c>
      <c r="B6" t="s">
        <v>73</v>
      </c>
      <c r="C6" t="s">
        <v>76</v>
      </c>
      <c r="D6" t="s">
        <v>75</v>
      </c>
      <c r="E6">
        <v>342171</v>
      </c>
      <c r="F6" s="2" t="s">
        <v>78</v>
      </c>
      <c r="G6" t="s">
        <v>80</v>
      </c>
    </row>
    <row r="7" spans="1:7" ht="60" x14ac:dyDescent="0.25">
      <c r="A7" t="s">
        <v>72</v>
      </c>
      <c r="B7" t="s">
        <v>74</v>
      </c>
      <c r="C7" t="s">
        <v>77</v>
      </c>
      <c r="D7" t="s">
        <v>75</v>
      </c>
      <c r="E7">
        <v>231385</v>
      </c>
      <c r="F7" s="2" t="s">
        <v>79</v>
      </c>
      <c r="G7" t="s">
        <v>80</v>
      </c>
    </row>
    <row r="8" spans="1:7" x14ac:dyDescent="0.25">
      <c r="F8" s="2"/>
    </row>
    <row r="9" spans="1:7" x14ac:dyDescent="0.25">
      <c r="F9" s="2"/>
    </row>
    <row r="10" spans="1:7" x14ac:dyDescent="0.25">
      <c r="F10" s="2"/>
    </row>
    <row r="11" spans="1:7" x14ac:dyDescent="0.25">
      <c r="F11" s="2"/>
    </row>
    <row r="12" spans="1:7" x14ac:dyDescent="0.25">
      <c r="F12" s="2"/>
    </row>
    <row r="13" spans="1:7" x14ac:dyDescent="0.25">
      <c r="F13" s="2"/>
    </row>
    <row r="14" spans="1:7" x14ac:dyDescent="0.25">
      <c r="F14" s="2"/>
    </row>
    <row r="15" spans="1:7" x14ac:dyDescent="0.25">
      <c r="F15" s="2"/>
    </row>
    <row r="16" spans="1:7" x14ac:dyDescent="0.25">
      <c r="F16" s="2"/>
    </row>
    <row r="17" spans="6:6" x14ac:dyDescent="0.25">
      <c r="F17" s="2"/>
    </row>
    <row r="18" spans="6:6" x14ac:dyDescent="0.25">
      <c r="F18" s="2"/>
    </row>
    <row r="19" spans="6:6" x14ac:dyDescent="0.25">
      <c r="F19" s="2"/>
    </row>
    <row r="20" spans="6:6" x14ac:dyDescent="0.25">
      <c r="F20" s="2"/>
    </row>
    <row r="21" spans="6:6" x14ac:dyDescent="0.25">
      <c r="F21" s="2"/>
    </row>
    <row r="22" spans="6:6" x14ac:dyDescent="0.25">
      <c r="F22" s="2"/>
    </row>
    <row r="23" spans="6:6" x14ac:dyDescent="0.25">
      <c r="F23" s="2"/>
    </row>
    <row r="24" spans="6:6" x14ac:dyDescent="0.25">
      <c r="F24" s="2"/>
    </row>
    <row r="25" spans="6:6" x14ac:dyDescent="0.25">
      <c r="F25" s="2"/>
    </row>
    <row r="26" spans="6:6" x14ac:dyDescent="0.25">
      <c r="F2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C12" sqref="C12"/>
    </sheetView>
  </sheetViews>
  <sheetFormatPr defaultRowHeight="15" x14ac:dyDescent="0.25"/>
  <cols>
    <col min="1" max="1" width="10.42578125" bestFit="1" customWidth="1"/>
    <col min="2" max="2" width="82.5703125" bestFit="1" customWidth="1"/>
    <col min="3" max="3" width="14.42578125" bestFit="1" customWidth="1"/>
  </cols>
  <sheetData>
    <row r="1" spans="1:4" x14ac:dyDescent="0.25">
      <c r="A1" t="s">
        <v>5</v>
      </c>
      <c r="B1" t="s">
        <v>27</v>
      </c>
      <c r="C1" t="s">
        <v>18</v>
      </c>
      <c r="D1" t="s">
        <v>6</v>
      </c>
    </row>
    <row r="2" spans="1:4" x14ac:dyDescent="0.25">
      <c r="A2" s="1">
        <v>45778</v>
      </c>
      <c r="B2" t="s">
        <v>60</v>
      </c>
      <c r="C2" t="s">
        <v>28</v>
      </c>
      <c r="D2">
        <v>22500</v>
      </c>
    </row>
    <row r="3" spans="1:4" x14ac:dyDescent="0.25">
      <c r="A3" s="1">
        <v>45689</v>
      </c>
      <c r="B3" t="s">
        <v>61</v>
      </c>
      <c r="C3" t="s">
        <v>28</v>
      </c>
      <c r="D3">
        <v>22500</v>
      </c>
    </row>
    <row r="4" spans="1:4" x14ac:dyDescent="0.25">
      <c r="A4" s="1">
        <v>45631</v>
      </c>
      <c r="B4" t="s">
        <v>62</v>
      </c>
      <c r="C4" t="s">
        <v>28</v>
      </c>
      <c r="D4">
        <v>20530</v>
      </c>
    </row>
    <row r="5" spans="1:4" ht="30" x14ac:dyDescent="0.25">
      <c r="A5" s="1">
        <v>45607</v>
      </c>
      <c r="B5" s="2" t="s">
        <v>63</v>
      </c>
      <c r="C5" t="s">
        <v>64</v>
      </c>
      <c r="D5">
        <v>20500</v>
      </c>
    </row>
    <row r="6" spans="1:4" ht="60" x14ac:dyDescent="0.25">
      <c r="A6" s="1">
        <v>46077</v>
      </c>
      <c r="B6" s="2" t="s">
        <v>65</v>
      </c>
      <c r="C6" t="s">
        <v>66</v>
      </c>
      <c r="D6">
        <v>26800</v>
      </c>
    </row>
    <row r="7" spans="1:4" ht="30" x14ac:dyDescent="0.25">
      <c r="A7" s="1">
        <v>44515</v>
      </c>
      <c r="B7" s="2" t="s">
        <v>67</v>
      </c>
      <c r="C7" t="s">
        <v>66</v>
      </c>
      <c r="D7">
        <v>5600</v>
      </c>
    </row>
    <row r="8" spans="1:4" x14ac:dyDescent="0.25">
      <c r="A8" s="1">
        <v>44918</v>
      </c>
      <c r="B8" t="s">
        <v>68</v>
      </c>
      <c r="C8" t="s">
        <v>28</v>
      </c>
      <c r="D8">
        <v>11000</v>
      </c>
    </row>
    <row r="9" spans="1:4" ht="60" x14ac:dyDescent="0.25">
      <c r="A9" s="1">
        <v>44650</v>
      </c>
      <c r="B9" s="2" t="s">
        <v>69</v>
      </c>
      <c r="C9" t="s">
        <v>66</v>
      </c>
      <c r="D9">
        <v>7522</v>
      </c>
    </row>
    <row r="10" spans="1:4" x14ac:dyDescent="0.25">
      <c r="A10" s="1">
        <v>44551</v>
      </c>
      <c r="B10" t="s">
        <v>70</v>
      </c>
      <c r="C10" t="s">
        <v>64</v>
      </c>
      <c r="D10">
        <v>5000</v>
      </c>
    </row>
    <row r="11" spans="1:4" ht="30" x14ac:dyDescent="0.25">
      <c r="A11" s="1">
        <v>44287</v>
      </c>
      <c r="B11" s="2" t="s">
        <v>71</v>
      </c>
      <c r="C11" t="s">
        <v>66</v>
      </c>
      <c r="D11">
        <v>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workbookViewId="0">
      <selection activeCell="D4" sqref="D4"/>
    </sheetView>
  </sheetViews>
  <sheetFormatPr defaultRowHeight="15" x14ac:dyDescent="0.25"/>
  <cols>
    <col min="1" max="1" width="10.42578125" bestFit="1" customWidth="1"/>
    <col min="4" max="4" width="6" bestFit="1" customWidth="1"/>
  </cols>
  <sheetData>
    <row r="1" spans="1:5" x14ac:dyDescent="0.25">
      <c r="A1" t="s">
        <v>5</v>
      </c>
      <c r="B1" t="s">
        <v>29</v>
      </c>
      <c r="C1" t="s">
        <v>30</v>
      </c>
      <c r="D1" t="s">
        <v>6</v>
      </c>
      <c r="E1" t="s">
        <v>31</v>
      </c>
    </row>
    <row r="2" spans="1:5" x14ac:dyDescent="0.25">
      <c r="A2" t="s">
        <v>13</v>
      </c>
      <c r="B2">
        <v>10.5</v>
      </c>
      <c r="C2">
        <v>2000</v>
      </c>
      <c r="D2">
        <v>28700</v>
      </c>
      <c r="E2" t="s">
        <v>32</v>
      </c>
    </row>
    <row r="3" spans="1:5" x14ac:dyDescent="0.25">
      <c r="A3" t="s">
        <v>33</v>
      </c>
      <c r="B3">
        <v>9.8000000000000007</v>
      </c>
      <c r="C3">
        <v>2000</v>
      </c>
      <c r="D3">
        <v>29001</v>
      </c>
      <c r="E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Instrucciones</vt:lpstr>
      <vt:lpstr>Mantenimiento</vt:lpstr>
      <vt:lpstr>Repuestos</vt:lpstr>
      <vt:lpstr>Bitacora</vt:lpstr>
      <vt:lpstr>Combustible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 Flota plantilla importacion</dc:title>
  <cp:lastModifiedBy>Ricardo Dario Do Campo</cp:lastModifiedBy>
  <dcterms:modified xsi:type="dcterms:W3CDTF">2026-05-08T22:38:02Z</dcterms:modified>
</cp:coreProperties>
</file>